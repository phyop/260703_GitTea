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c48bea70d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" sheetId="1" r:id="Ra70b097f475c4856"/>
    <x:sheet xmlns:r="http://schemas.openxmlformats.org/officeDocument/2006/relationships" name="Config" sheetId="2" r:id="Rbcb1c7d51a144a9d"/>
    <x:sheet xmlns:r="http://schemas.openxmlformats.org/officeDocument/2006/relationships" name="Summary" sheetId="3" r:id="R518d6077ae43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2">
    <x:font>
      <x:sz val="11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1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202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b205050a940d1" /><Relationship Type="http://schemas.openxmlformats.org/officeDocument/2006/relationships/theme" Target="/xl/theme/theme1.xml" Id="R4259ee302e9741b6" /><Relationship Type="http://schemas.openxmlformats.org/officeDocument/2006/relationships/sharedStrings" Target="/xl/sharedStrings.xml" Id="Rb59d1133505d4717" /><Relationship Type="http://schemas.openxmlformats.org/officeDocument/2006/relationships/worksheet" Target="/xl/worksheets/sheet1.xml" Id="Ra70b097f475c4856" /><Relationship Type="http://schemas.openxmlformats.org/officeDocument/2006/relationships/worksheet" Target="/xl/worksheets/sheet2.xml" Id="Rbcb1c7d51a144a9d" /><Relationship Type="http://schemas.openxmlformats.org/officeDocument/2006/relationships/worksheet" Target="/xl/worksheets/sheet3.xml" Id="R518d6077ae434d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27.5" hidden="0" customWidth="1"/>
    <x:col min="22" max="22" width="14" hidden="0" customWidth="1"/>
  </x:cols>
  <x:sheetData>
    <x:row r="1">
      <x:c r="A1" s="7" t="str">
        <x:v>date</x:v>
      </x:c>
      <x:c r="B1" s="8" t="str">
        <x:v>water_ml</x:v>
      </x:c>
      <x:c r="C1" s="8" t="str">
        <x:v>water_cups</x:v>
      </x:c>
      <x:c r="D1" s="9" t="str">
        <x:v>vitamin_c</x:v>
      </x:c>
      <x:c r="E1" s="9" t="str">
        <x:v>vitamin_time</x:v>
      </x:c>
      <x:c r="F1" s="8" t="str">
        <x:v>bp_sys</x:v>
      </x:c>
      <x:c r="G1" s="8" t="str">
        <x:v>bp_dia</x:v>
      </x:c>
      <x:c r="H1" s="10" t="str">
        <x:v>weight_kg</x:v>
      </x:c>
      <x:c r="I1" s="9" t="str">
        <x:v>bp_weight_time</x:v>
      </x:c>
      <x:c r="J1" s="9" t="str">
        <x:v>last_water_time</x:v>
      </x:c>
      <x:c r="K1" s="9" t="str">
        <x:v>water_0740</x:v>
      </x:c>
      <x:c r="L1" s="9" t="str">
        <x:v>water_0845</x:v>
      </x:c>
      <x:c r="M1" s="9" t="str">
        <x:v>water_1000</x:v>
      </x:c>
      <x:c r="N1" s="9" t="str">
        <x:v>water_1100</x:v>
      </x:c>
      <x:c r="O1" s="9" t="str">
        <x:v>water_1400</x:v>
      </x:c>
      <x:c r="P1" s="9" t="str">
        <x:v>water_1515</x:v>
      </x:c>
      <x:c r="Q1" s="9" t="str">
        <x:v>water_1630</x:v>
      </x:c>
      <x:c r="R1" s="9" t="str">
        <x:v>water_1745</x:v>
      </x:c>
      <x:c r="S1" s="9" t="str">
        <x:v>water_2030</x:v>
      </x:c>
      <x:c r="T1" s="9" t="str">
        <x:v>water_2145</x:v>
      </x:c>
      <x:c r="U1" s="9" t="str">
        <x:v>notes</x:v>
      </x:c>
      <x:c r="V1" s="11" t="str">
        <x:v>updated_at</x:v>
      </x:c>
    </x:row>
    <x:row r="2">
      <x:c r="A2" s="12" t="n">
        <x:f>TODAY()+0</x:f>
        <x:v>46204</x:v>
      </x:c>
      <x:c r="B2" s="13" t="n">
        <x:f>C2*250</x:f>
        <x:v>0</x:v>
      </x:c>
      <x:c r="C2" s="13" t="n">
        <x:f>COUNTIF(K2:T2,TRUE)</x:f>
        <x:v>0</x:v>
      </x:c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4"/>
    </x:row>
    <x:row r="3">
      <x:c r="A3" s="12" t="n">
        <x:f>TODAY()+1</x:f>
        <x:v>46205</x:v>
      </x:c>
      <x:c r="B3" s="13" t="n">
        <x:f>C3*250</x:f>
        <x:v>0</x:v>
      </x:c>
      <x:c r="C3" s="13" t="n">
        <x:f>COUNTIF(K3:T3,TRUE)</x:f>
        <x:v>0</x:v>
      </x:c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4"/>
    </x:row>
    <x:row r="4">
      <x:c r="A4" s="12" t="n">
        <x:f>TODAY()+2</x:f>
        <x:v>46206</x:v>
      </x:c>
      <x:c r="B4" s="13" t="n">
        <x:f>C4*250</x:f>
        <x:v>0</x:v>
      </x:c>
      <x:c r="C4" s="13" t="n">
        <x:f>COUNTIF(K4:T4,TRUE)</x:f>
        <x:v>0</x:v>
      </x:c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4"/>
    </x:row>
    <x:row r="5">
      <x:c r="A5" s="12" t="n">
        <x:f>TODAY()+3</x:f>
        <x:v>46207</x:v>
      </x:c>
      <x:c r="B5" s="13" t="n">
        <x:f>C5*250</x:f>
        <x:v>0</x:v>
      </x:c>
      <x:c r="C5" s="13" t="n">
        <x:f>COUNTIF(K5:T5,TRUE)</x:f>
        <x:v>0</x:v>
      </x:c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4"/>
    </x:row>
    <x:row r="6">
      <x:c r="A6" s="12" t="n">
        <x:f>TODAY()+4</x:f>
        <x:v>46208</x:v>
      </x:c>
      <x:c r="B6" s="13" t="n">
        <x:f>C6*250</x:f>
        <x:v>0</x:v>
      </x:c>
      <x:c r="C6" s="13" t="n">
        <x:f>COUNTIF(K6:T6,TRUE)</x:f>
        <x:v>0</x:v>
      </x:c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4"/>
    </x:row>
    <x:row r="7">
      <x:c r="A7" s="12" t="n">
        <x:f>TODAY()+5</x:f>
        <x:v>46209</x:v>
      </x:c>
      <x:c r="B7" s="13" t="n">
        <x:f>C7*250</x:f>
        <x:v>0</x:v>
      </x:c>
      <x:c r="C7" s="13" t="n">
        <x:f>COUNTIF(K7:T7,TRUE)</x:f>
        <x:v>0</x:v>
      </x:c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4"/>
    </x:row>
    <x:row r="8">
      <x:c r="A8" s="12" t="n">
        <x:f>TODAY()+6</x:f>
        <x:v>46210</x:v>
      </x:c>
      <x:c r="B8" s="13" t="n">
        <x:f>C8*250</x:f>
        <x:v>0</x:v>
      </x:c>
      <x:c r="C8" s="13" t="n">
        <x:f>COUNTIF(K8:T8,TRUE)</x:f>
        <x:v>0</x:v>
      </x:c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4"/>
    </x:row>
    <x:row r="9">
      <x:c r="A9" s="12" t="n">
        <x:f>TODAY()+7</x:f>
        <x:v>46211</x:v>
      </x:c>
      <x:c r="B9" s="13" t="n">
        <x:f>C9*250</x:f>
        <x:v>0</x:v>
      </x:c>
      <x:c r="C9" s="13" t="n">
        <x:f>COUNTIF(K9:T9,TRUE)</x:f>
        <x:v>0</x:v>
      </x:c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4"/>
    </x:row>
    <x:row r="10">
      <x:c r="A10" s="12" t="n">
        <x:f>TODAY()+8</x:f>
        <x:v>46212</x:v>
      </x:c>
      <x:c r="B10" s="13" t="n">
        <x:f>C10*250</x:f>
        <x:v>0</x:v>
      </x:c>
      <x:c r="C10" s="13" t="n">
        <x:f>COUNTIF(K10:T10,TRUE)</x:f>
        <x:v>0</x:v>
      </x:c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4"/>
    </x:row>
    <x:row r="11">
      <x:c r="A11" s="12" t="n">
        <x:f>TODAY()+9</x:f>
        <x:v>46213</x:v>
      </x:c>
      <x:c r="B11" s="13" t="n">
        <x:f>C11*250</x:f>
        <x:v>0</x:v>
      </x:c>
      <x:c r="C11" s="13" t="n">
        <x:f>COUNTIF(K11:T11,TRUE)</x:f>
        <x:v>0</x:v>
      </x:c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4"/>
    </x:row>
    <x:row r="12">
      <x:c r="A12" s="12" t="n">
        <x:f>TODAY()+10</x:f>
        <x:v>46214</x:v>
      </x:c>
      <x:c r="B12" s="13" t="n">
        <x:f>C12*250</x:f>
        <x:v>0</x:v>
      </x:c>
      <x:c r="C12" s="13" t="n">
        <x:f>COUNTIF(K12:T12,TRUE)</x:f>
        <x:v>0</x:v>
      </x:c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4"/>
    </x:row>
    <x:row r="13">
      <x:c r="A13" s="12" t="n">
        <x:f>TODAY()+11</x:f>
        <x:v>46215</x:v>
      </x:c>
      <x:c r="B13" s="13" t="n">
        <x:f>C13*250</x:f>
        <x:v>0</x:v>
      </x:c>
      <x:c r="C13" s="13" t="n">
        <x:f>COUNTIF(K13:T13,TRUE)</x:f>
        <x:v>0</x:v>
      </x:c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4"/>
    </x:row>
    <x:row r="14">
      <x:c r="A14" s="12" t="n">
        <x:f>TODAY()+12</x:f>
        <x:v>46216</x:v>
      </x:c>
      <x:c r="B14" s="13" t="n">
        <x:f>C14*250</x:f>
        <x:v>0</x:v>
      </x:c>
      <x:c r="C14" s="13" t="n">
        <x:f>COUNTIF(K14:T14,TRUE)</x:f>
        <x:v>0</x:v>
      </x:c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4"/>
    </x:row>
    <x:row r="15">
      <x:c r="A15" s="12" t="n">
        <x:f>TODAY()+13</x:f>
        <x:v>46217</x:v>
      </x:c>
      <x:c r="B15" s="13" t="n">
        <x:f>C15*250</x:f>
        <x:v>0</x:v>
      </x:c>
      <x:c r="C15" s="13" t="n">
        <x:f>COUNTIF(K15:T15,TRUE)</x:f>
        <x:v>0</x:v>
      </x:c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4"/>
    </x:row>
    <x:row r="16">
      <x:c r="A16" s="12" t="n">
        <x:f>TODAY()+14</x:f>
        <x:v>46218</x:v>
      </x:c>
      <x:c r="B16" s="13" t="n">
        <x:f>C16*250</x:f>
        <x:v>0</x:v>
      </x:c>
      <x:c r="C16" s="13" t="n">
        <x:f>COUNTIF(K16:T16,TRUE)</x:f>
        <x:v>0</x:v>
      </x:c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4"/>
    </x:row>
    <x:row r="17">
      <x:c r="A17" s="12" t="n">
        <x:f>TODAY()+15</x:f>
        <x:v>46219</x:v>
      </x:c>
      <x:c r="B17" s="13" t="n">
        <x:f>C17*250</x:f>
        <x:v>0</x:v>
      </x:c>
      <x:c r="C17" s="13" t="n">
        <x:f>COUNTIF(K17:T17,TRUE)</x:f>
        <x:v>0</x:v>
      </x:c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4"/>
    </x:row>
    <x:row r="18">
      <x:c r="A18" s="12" t="n">
        <x:f>TODAY()+16</x:f>
        <x:v>46220</x:v>
      </x:c>
      <x:c r="B18" s="13" t="n">
        <x:f>C18*250</x:f>
        <x:v>0</x:v>
      </x:c>
      <x:c r="C18" s="13" t="n">
        <x:f>COUNTIF(K18:T18,TRUE)</x:f>
        <x:v>0</x:v>
      </x:c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4"/>
    </x:row>
    <x:row r="19">
      <x:c r="A19" s="12" t="n">
        <x:f>TODAY()+17</x:f>
        <x:v>46221</x:v>
      </x:c>
      <x:c r="B19" s="13" t="n">
        <x:f>C19*250</x:f>
        <x:v>0</x:v>
      </x:c>
      <x:c r="C19" s="13" t="n">
        <x:f>COUNTIF(K19:T19,TRUE)</x:f>
        <x:v>0</x:v>
      </x:c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4"/>
    </x:row>
    <x:row r="20">
      <x:c r="A20" s="12" t="n">
        <x:f>TODAY()+18</x:f>
        <x:v>46222</x:v>
      </x:c>
      <x:c r="B20" s="13" t="n">
        <x:f>C20*250</x:f>
        <x:v>0</x:v>
      </x:c>
      <x:c r="C20" s="13" t="n">
        <x:f>COUNTIF(K20:T20,TRUE)</x:f>
        <x:v>0</x:v>
      </x:c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4"/>
    </x:row>
    <x:row r="21">
      <x:c r="A21" s="12" t="n">
        <x:f>TODAY()+19</x:f>
        <x:v>46223</x:v>
      </x:c>
      <x:c r="B21" s="13" t="n">
        <x:f>C21*250</x:f>
        <x:v>0</x:v>
      </x:c>
      <x:c r="C21" s="13" t="n">
        <x:f>COUNTIF(K21:T21,TRUE)</x:f>
        <x:v>0</x:v>
      </x:c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4"/>
    </x:row>
    <x:row r="22">
      <x:c r="A22" s="12" t="n">
        <x:f>TODAY()+20</x:f>
        <x:v>46224</x:v>
      </x:c>
      <x:c r="B22" s="13" t="n">
        <x:f>C22*250</x:f>
        <x:v>0</x:v>
      </x:c>
      <x:c r="C22" s="13" t="n">
        <x:f>COUNTIF(K22:T22,TRUE)</x:f>
        <x:v>0</x:v>
      </x:c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4"/>
    </x:row>
    <x:row r="23">
      <x:c r="A23" s="12" t="n">
        <x:f>TODAY()+21</x:f>
        <x:v>46225</x:v>
      </x:c>
      <x:c r="B23" s="13" t="n">
        <x:f>C23*250</x:f>
        <x:v>0</x:v>
      </x:c>
      <x:c r="C23" s="13" t="n">
        <x:f>COUNTIF(K23:T23,TRUE)</x:f>
        <x:v>0</x:v>
      </x:c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4"/>
    </x:row>
    <x:row r="24">
      <x:c r="A24" s="12" t="n">
        <x:f>TODAY()+22</x:f>
        <x:v>46226</x:v>
      </x:c>
      <x:c r="B24" s="13" t="n">
        <x:f>C24*250</x:f>
        <x:v>0</x:v>
      </x:c>
      <x:c r="C24" s="13" t="n">
        <x:f>COUNTIF(K24:T24,TRUE)</x:f>
        <x:v>0</x:v>
      </x:c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4"/>
    </x:row>
    <x:row r="25">
      <x:c r="A25" s="12" t="n">
        <x:f>TODAY()+23</x:f>
        <x:v>46227</x:v>
      </x:c>
      <x:c r="B25" s="13" t="n">
        <x:f>C25*250</x:f>
        <x:v>0</x:v>
      </x:c>
      <x:c r="C25" s="13" t="n">
        <x:f>COUNTIF(K25:T25,TRUE)</x:f>
        <x:v>0</x:v>
      </x:c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4"/>
    </x:row>
    <x:row r="26">
      <x:c r="A26" s="12" t="n">
        <x:f>TODAY()+24</x:f>
        <x:v>46228</x:v>
      </x:c>
      <x:c r="B26" s="13" t="n">
        <x:f>C26*250</x:f>
        <x:v>0</x:v>
      </x:c>
      <x:c r="C26" s="13" t="n">
        <x:f>COUNTIF(K26:T26,TRUE)</x:f>
        <x:v>0</x:v>
      </x:c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4"/>
    </x:row>
    <x:row r="27">
      <x:c r="A27" s="12" t="n">
        <x:f>TODAY()+25</x:f>
        <x:v>46229</x:v>
      </x:c>
      <x:c r="B27" s="13" t="n">
        <x:f>C27*250</x:f>
        <x:v>0</x:v>
      </x:c>
      <x:c r="C27" s="13" t="n">
        <x:f>COUNTIF(K27:T27,TRUE)</x:f>
        <x:v>0</x:v>
      </x:c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4"/>
    </x:row>
    <x:row r="28">
      <x:c r="A28" s="12" t="n">
        <x:f>TODAY()+26</x:f>
        <x:v>46230</x:v>
      </x:c>
      <x:c r="B28" s="13" t="n">
        <x:f>C28*250</x:f>
        <x:v>0</x:v>
      </x:c>
      <x:c r="C28" s="13" t="n">
        <x:f>COUNTIF(K28:T28,TRUE)</x:f>
        <x:v>0</x:v>
      </x:c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4"/>
    </x:row>
    <x:row r="29">
      <x:c r="A29" s="12" t="n">
        <x:f>TODAY()+27</x:f>
        <x:v>46231</x:v>
      </x:c>
      <x:c r="B29" s="13" t="n">
        <x:f>C29*250</x:f>
        <x:v>0</x:v>
      </x:c>
      <x:c r="C29" s="13" t="n">
        <x:f>COUNTIF(K29:T29,TRUE)</x:f>
        <x:v>0</x:v>
      </x:c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4"/>
    </x:row>
    <x:row r="30">
      <x:c r="A30" s="12" t="n">
        <x:f>TODAY()+28</x:f>
        <x:v>46232</x:v>
      </x:c>
      <x:c r="B30" s="13" t="n">
        <x:f>C30*250</x:f>
        <x:v>0</x:v>
      </x:c>
      <x:c r="C30" s="13" t="n">
        <x:f>COUNTIF(K30:T30,TRUE)</x:f>
        <x:v>0</x:v>
      </x:c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4"/>
    </x:row>
    <x:row r="31">
      <x:c r="A31" s="12" t="n">
        <x:f>TODAY()+29</x:f>
        <x:v>46233</x:v>
      </x:c>
      <x:c r="B31" s="13" t="n">
        <x:f>C31*250</x:f>
        <x:v>0</x:v>
      </x:c>
      <x:c r="C31" s="13" t="n">
        <x:f>COUNTIF(K31:T31,TRUE)</x:f>
        <x:v>0</x:v>
      </x:c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4"/>
    </x:row>
    <x:row r="32">
      <x:c r="A32" s="15" t="n">
        <x:f>TODAY()+30</x:f>
        <x:v>46234</x:v>
      </x:c>
      <x:c r="B32" s="16" t="n">
        <x:f>C32*250</x:f>
        <x:v>0</x:v>
      </x:c>
      <x:c r="C32" s="16" t="n">
        <x:f>COUNTIF(K32:T32,TRUE)</x:f>
        <x:v>0</x:v>
      </x:c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7"/>
    </x:row>
  </x:sheetData>
  <x:dataValidations count="2">
    <x:dataValidation type="list" sqref="K2:T32">
      <x:formula1>"TRUE,FALSE"</x:formula1>
    </x:dataValidation>
    <x:dataValidation type="list" sqref="D2:D32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.75" hidden="0" customWidth="1"/>
    <x:col min="2" max="2" width="65" hidden="0" customWidth="1"/>
  </x:cols>
  <x:sheetData>
    <x:row r="1">
      <x:c r="A1" s="18" t="str">
        <x:v>key</x:v>
      </x:c>
      <x:c r="B1" s="19" t="str">
        <x:v>value</x:v>
      </x:c>
    </x:row>
    <x:row r="2">
      <x:c r="A2" s="12" t="str">
        <x:v>timezone</x:v>
      </x:c>
      <x:c r="B2" s="14" t="str">
        <x:v>Asia/Taipei</x:v>
      </x:c>
    </x:row>
    <x:row r="3">
      <x:c r="A3" s="12" t="str">
        <x:v>water_ml_per_cup</x:v>
      </x:c>
      <x:c r="B3" s="14" t="n">
        <x:v>250</x:v>
      </x:c>
    </x:row>
    <x:row r="4">
      <x:c r="A4" s="12" t="str">
        <x:v>water_daily_cups</x:v>
      </x:c>
      <x:c r="B4" s="14" t="n">
        <x:v>10</x:v>
      </x:c>
    </x:row>
    <x:row r="5">
      <x:c r="A5" s="12" t="str">
        <x:v>water_daily_target_ml</x:v>
      </x:c>
      <x:c r="B5" s="14" t="n">
        <x:v>2500</x:v>
      </x:c>
    </x:row>
    <x:row r="6">
      <x:c r="A6" s="12" t="str">
        <x:v>water_times</x:v>
      </x:c>
      <x:c r="B6" s="14" t="str">
        <x:v>07:40,08:45,10:00,11:00,14:00,15:15,16:30,17:45,20:30,21:45</x:v>
      </x:c>
    </x:row>
    <x:row r="7">
      <x:c r="A7" s="12" t="str">
        <x:v>vitamin_main</x:v>
      </x:c>
      <x:c r="B7" s="14" t="str">
        <x:v>15:00</x:v>
      </x:c>
    </x:row>
    <x:row r="8">
      <x:c r="A8" s="12" t="str">
        <x:v>vitamin_backup</x:v>
      </x:c>
      <x:c r="B8" s="14" t="str">
        <x:v>17:00</x:v>
      </x:c>
    </x:row>
    <x:row r="9">
      <x:c r="A9" s="12" t="str">
        <x:v>bp_weight_main</x:v>
      </x:c>
      <x:c r="B9" s="14" t="str">
        <x:v>20:00</x:v>
      </x:c>
    </x:row>
    <x:row r="10">
      <x:c r="A10" s="12" t="str">
        <x:v>bp_weight_backup</x:v>
      </x:c>
      <x:c r="B10" s="14" t="str">
        <x:v>21:30</x:v>
      </x:c>
    </x:row>
    <x:row r="11">
      <x:c r="A11" s="12" t="str">
        <x:v>telegram_bot_token</x:v>
      </x:c>
      <x:c r="B11" s="14" t="str">
        <x:v>SET_IN_SCRIPT_PROPERTIES</x:v>
      </x:c>
    </x:row>
    <x:row r="12">
      <x:c r="A12" s="12" t="str">
        <x:v>telegram_chat_id</x:v>
      </x:c>
      <x:c r="B12" s="14" t="str">
        <x:v>SET_IN_SCRIPT_PROPERTIES</x:v>
      </x:c>
    </x:row>
    <x:row r="13">
      <x:c r="A13" s="12" t="str">
        <x:v>spreadsheet_id</x:v>
      </x:c>
      <x:c r="B13" s="14" t="str">
        <x:v>PASTE_THIS_SHEET_ID_IN_SCRIPT_PROPERTIES</x:v>
      </x:c>
    </x:row>
    <x:row r="14">
      <x:c r="A14" s="12" t="str">
        <x:v>webhook_url</x:v>
      </x:c>
      <x:c r="B14" s="14" t="str">
        <x:v>SET_AFTER_DEPLOYMENT</x:v>
      </x:c>
    </x:row>
    <x:row r="15">
      <x:c r="A15" s="12" t="str">
        <x:v>vitamin_backup_rule</x:v>
      </x:c>
      <x:c r="B15" s="14" t="str">
        <x:v>Only send at 17:00 if vitamin_c is not TRUE after 15:00.</x:v>
      </x:c>
    </x:row>
    <x:row r="16">
      <x:c r="A16" s="12" t="str">
        <x:v>bp_weight_backup_rule</x:v>
      </x:c>
      <x:c r="B16" s="14" t="str">
        <x:v>Only send at 21:30 if bp_sys, bp_dia, and weight_kg are not all recorded after 20:00.</x:v>
      </x:c>
    </x:row>
    <x:row r="17">
      <x:c r="A17" s="12" t="str">
        <x:v>water_schedule_1</x:v>
      </x:c>
      <x:c r="B17" s="14" t="str">
        <x:v>07:40,08:45,10:00,11:00,14:00</x:v>
      </x:c>
    </x:row>
    <x:row r="18">
      <x:c r="A18" s="12" t="str">
        <x:v>water_schedule_2</x:v>
      </x:c>
      <x:c r="B18" s="14" t="str">
        <x:v>15:15,16:30,17:45,20:30,21:45</x:v>
      </x:c>
    </x:row>
    <x:row r="19">
      <x:c r="A19" s="15" t="str">
        <x:v>notes</x:v>
      </x:c>
      <x:c r="B19" s="17" t="str">
        <x:v>Do not store secrets in this sheet if you share it.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32.5" hidden="0" customWidth="1"/>
  </x:cols>
  <x:sheetData>
    <x:row r="1">
      <x:c r="A1" s="18" t="str">
        <x:v>Metric</x:v>
      </x:c>
      <x:c r="B1" s="20" t="str">
        <x:v>Today</x:v>
      </x:c>
      <x:c r="C1" s="20" t="str">
        <x:v>Target</x:v>
      </x:c>
      <x:c r="D1" s="20" t="str">
        <x:v>Status</x:v>
      </x:c>
      <x:c r="E1" s="19" t="str">
        <x:v>Notes</x:v>
      </x:c>
    </x:row>
    <x:row r="2">
      <x:c r="A2" s="12" t="str">
        <x:v>Water ml</x:v>
      </x:c>
      <x:c r="B2" s="13" t="n">
        <x:f>IFERROR(XLOOKUP(TODAY(),Log!$A$2:$A$400,Log!$B$2:$B$400),0)</x:f>
        <x:v>0</x:v>
      </x:c>
      <x:c r="C2" s="13" t="n">
        <x:v>2500</x:v>
      </x:c>
      <x:c r="D2" s="13" t="str">
        <x:f>IF(B2&gt;=C2,"OK","Pending")</x:f>
        <x:v>Pending</x:v>
      </x:c>
      <x:c r="E2" s="14" t="str">
        <x:v>Daily target: 10 cups x 250 ml</x:v>
      </x:c>
    </x:row>
    <x:row r="3">
      <x:c r="A3" s="12" t="str">
        <x:v>Water cups</x:v>
      </x:c>
      <x:c r="B3" s="13" t="n">
        <x:f>IFERROR(XLOOKUP(TODAY(),Log!$A$2:$A$400,Log!$C$2:$C$400),0)</x:f>
        <x:v>0</x:v>
      </x:c>
      <x:c r="C3" s="13" t="n">
        <x:v>10</x:v>
      </x:c>
      <x:c r="D3" s="13" t="str">
        <x:f>IF(B3&gt;=C3,"OK","Pending")</x:f>
        <x:v>Pending</x:v>
      </x:c>
      <x:c r="E3" s="14" t="str">
        <x:v>Each checked cup counts as 250 ml</x:v>
      </x:c>
    </x:row>
    <x:row r="4">
      <x:c r="A4" s="12" t="str">
        <x:v>Vitamin C</x:v>
      </x:c>
      <x:c r="B4" s="13" t="str">
        <x:f>IFERROR(XLOOKUP(TODAY(),Log!$A$2:$A$400,Log!$D$2:$D$400),FALSE)</x:f>
      </x:c>
      <x:c r="C4" s="13" t="str">
        <x:v>TRUE</x:v>
      </x:c>
      <x:c r="D4" s="13" t="str">
        <x:f>IF(B4=TRUE,"OK","Pending")</x:f>
        <x:v>Pending</x:v>
      </x:c>
      <x:c r="E4" s="14" t="str">
        <x:v>Back-up reminder at 17:00 if missing</x:v>
      </x:c>
    </x:row>
    <x:row r="5">
      <x:c r="A5" s="12" t="str">
        <x:v>Blood pressure</x:v>
      </x:c>
      <x:c r="B5" s="13" t="str">
        <x:f>IF(AND(IFERROR(XLOOKUP(TODAY(),Log!$A$2:$A$400,Log!$F$2:$F$400),"")&lt;&gt;"",IFERROR(XLOOKUP(TODAY(),Log!$A$2:$A$400,Log!$G$2:$G$400),"")&lt;&gt;""),TEXT(XLOOKUP(TODAY(),Log!$A$2:$A$400,Log!$F$2:$F$400),"0")&amp;"/"&amp;TEXT(XLOOKUP(TODAY(),Log!$A$2:$A$400,Log!$G$2:$G$400),"0"),"")</x:f>
      </x:c>
      <x:c r="C5" s="13" t="str">
        <x:v>Recorded</x:v>
      </x:c>
      <x:c r="D5" s="13" t="str">
        <x:f>IF(B5&lt;&gt;"","OK","Pending")</x:f>
        <x:v>Pending</x:v>
      </x:c>
      <x:c r="E5" s="14" t="str">
        <x:v>Back-up reminder at 21:30 if missing</x:v>
      </x:c>
    </x:row>
    <x:row r="6">
      <x:c r="A6" s="15" t="str">
        <x:v>Weight kg</x:v>
      </x:c>
      <x:c r="B6" s="16" t="str">
        <x:f>IFERROR(XLOOKUP(TODAY(),Log!$A$2:$A$400,Log!$H$2:$H$400),"")</x:f>
      </x:c>
      <x:c r="C6" s="16" t="str">
        <x:v>Recorded</x:v>
      </x:c>
      <x:c r="D6" s="16" t="str">
        <x:f>IF(B6&lt;&gt;"","OK","Pending")</x:f>
        <x:v>Pending</x:v>
      </x:c>
      <x:c r="E6" s="17" t="str">
        <x:v>Logged with blood pressure</x:v>
      </x:c>
    </x:row>
  </x:sheetData>
  <x:pageMargins left="0.7" right="0.7" top="0.75" bottom="0.75" header="0.3" footer="0.3"/>
</x:worksheet>
</file>